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 11" sheetId="1" r:id="rId4"/>
    <sheet state="visible" name="TD 11b" sheetId="2" r:id="rId5"/>
    <sheet state="visible" name="TD 11c" sheetId="3" r:id="rId6"/>
  </sheets>
  <externalReferences>
    <externalReference r:id="rId7"/>
  </externalReferences>
  <definedNames>
    <definedName localSheetId="2" name="solver_opt">'TD 11c'!$I$29</definedName>
    <definedName localSheetId="2" name="solver_adj">'TD 11c'!$J$7</definedName>
  </definedNames>
  <calcPr/>
  <extLst>
    <ext uri="GoogleSheetsCustomDataVersion2">
      <go:sheetsCustomData xmlns:go="http://customooxmlschemas.google.com/" r:id="rId8" roundtripDataChecksum="vdnKegUR4XtXIFLZ9fHNtcahlCcqfMG1Bd/kVcc8NOM="/>
    </ext>
  </extLst>
</workbook>
</file>

<file path=xl/sharedStrings.xml><?xml version="1.0" encoding="utf-8"?>
<sst xmlns="http://schemas.openxmlformats.org/spreadsheetml/2006/main" count="42" uniqueCount="35">
  <si>
    <t>J en mm (condition initiale d'humidité moyenne) :</t>
  </si>
  <si>
    <t xml:space="preserve">Ia = </t>
  </si>
  <si>
    <t>Calcul de la pluie nette par le SCS</t>
  </si>
  <si>
    <t xml:space="preserve">j </t>
  </si>
  <si>
    <t>H(j)</t>
  </si>
  <si>
    <r>
      <rPr>
        <rFont val="Noto Sans Symbols"/>
        <b/>
        <color theme="1"/>
        <sz val="10.0"/>
      </rPr>
      <t>S</t>
    </r>
    <r>
      <rPr>
        <rFont val="Arial"/>
        <b/>
        <color theme="1"/>
        <sz val="10.0"/>
      </rPr>
      <t xml:space="preserve"> H(j)</t>
    </r>
  </si>
  <si>
    <r>
      <rPr>
        <rFont val="Noto Sans Symbols"/>
        <b/>
        <color theme="1"/>
        <sz val="10.0"/>
      </rPr>
      <t>S</t>
    </r>
    <r>
      <rPr>
        <rFont val="Arial"/>
        <b/>
        <color theme="1"/>
        <sz val="10.0"/>
      </rPr>
      <t xml:space="preserve"> Hn(j)</t>
    </r>
  </si>
  <si>
    <t>Hn(j)</t>
  </si>
  <si>
    <r>
      <rPr>
        <rFont val="Arial"/>
        <b/>
        <color theme="1"/>
        <sz val="10.0"/>
      </rPr>
      <t>C(t=j.</t>
    </r>
    <r>
      <rPr>
        <rFont val="Symbol"/>
        <b/>
        <color theme="1"/>
        <sz val="10.0"/>
      </rPr>
      <t>D</t>
    </r>
    <r>
      <rPr>
        <rFont val="Arial"/>
        <b/>
        <color theme="1"/>
        <sz val="10.0"/>
      </rPr>
      <t>t)</t>
    </r>
  </si>
  <si>
    <t>J en mm (condition initiale d'humidité très humide) :</t>
  </si>
  <si>
    <r>
      <rPr>
        <rFont val="Noto Sans Symbols"/>
        <b/>
        <color theme="1"/>
        <sz val="10.0"/>
      </rPr>
      <t>S</t>
    </r>
    <r>
      <rPr>
        <rFont val="Arial"/>
        <b/>
        <color theme="1"/>
        <sz val="10.0"/>
      </rPr>
      <t xml:space="preserve"> H(j)</t>
    </r>
  </si>
  <si>
    <r>
      <rPr>
        <rFont val="Noto Sans Symbols"/>
        <b/>
        <color theme="1"/>
        <sz val="10.0"/>
      </rPr>
      <t>S</t>
    </r>
    <r>
      <rPr>
        <rFont val="Arial"/>
        <b/>
        <color theme="1"/>
        <sz val="10.0"/>
      </rPr>
      <t xml:space="preserve"> Hn(j)</t>
    </r>
  </si>
  <si>
    <r>
      <rPr>
        <rFont val="Arial"/>
        <b/>
        <color theme="1"/>
        <sz val="10.0"/>
      </rPr>
      <t>C(t=j.</t>
    </r>
    <r>
      <rPr>
        <rFont val="Symbol"/>
        <b/>
        <color theme="1"/>
        <sz val="10.0"/>
      </rPr>
      <t>D</t>
    </r>
    <r>
      <rPr>
        <rFont val="Arial"/>
        <b/>
        <color theme="1"/>
        <sz val="10.0"/>
      </rPr>
      <t>t)</t>
    </r>
  </si>
  <si>
    <t>STE4 - Fonction de Production SCS</t>
  </si>
  <si>
    <t>t</t>
  </si>
  <si>
    <t>H</t>
  </si>
  <si>
    <t>Q</t>
  </si>
  <si>
    <t>(h)</t>
  </si>
  <si>
    <t>(mm)</t>
  </si>
  <si>
    <t>(l/s)</t>
  </si>
  <si>
    <t>A =</t>
  </si>
  <si>
    <t xml:space="preserve">B = </t>
  </si>
  <si>
    <t>B/A =</t>
  </si>
  <si>
    <t>identifiant crue</t>
  </si>
  <si>
    <t>lame précipitée
totale</t>
  </si>
  <si>
    <t>lame
 ruisselée totale</t>
  </si>
  <si>
    <t xml:space="preserve">Lame
 ruisselée totale SCS </t>
  </si>
  <si>
    <t>Carré des écarts</t>
  </si>
  <si>
    <t>[mm]</t>
  </si>
  <si>
    <t>CN=</t>
  </si>
  <si>
    <t>J (mm) =</t>
  </si>
  <si>
    <t>J (mm) optimisé</t>
  </si>
  <si>
    <t>somme :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</si>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</sst>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&quot; mm&quot;"/>
    <numFmt numFmtId="166" formatCode="General&quot; mm&quot;"/>
    <numFmt numFmtId="167" formatCode="0.0%"/>
    <numFmt numFmtId="168" formatCode="0.00&quot; mm&quot;"/>
  </numFmts>
  <fonts count="13">
    <font>
      <sz val="10.0"/>
      <color rgb="FF000000"/>
      <name val="Calibri"/>
      <scheme val="minor"/>
    </font>
    <font>
      <sz val="10.0"/>
      <color theme="1"/>
      <name val="Arial"/>
    </font>
    <font>
      <b/>
      <u/>
      <sz val="10.0"/>
      <color theme="1"/>
      <name val="Arial"/>
    </font>
    <font>
      <b/>
      <sz val="10.0"/>
      <color theme="1"/>
      <name val="Arial"/>
    </font>
    <font>
      <b/>
      <sz val="10.0"/>
      <color theme="1"/>
      <name val="Noto Sans Symbols"/>
    </font>
    <font>
      <color theme="1"/>
      <name val="Calibri"/>
      <scheme val="minor"/>
    </font>
    <font>
      <b/>
      <sz val="10.0"/>
      <color rgb="FF3366FF"/>
      <name val="Arial"/>
    </font>
    <font>
      <u/>
      <sz val="10.0"/>
      <color theme="1"/>
      <name val="Arial"/>
    </font>
    <font>
      <i/>
      <sz val="10.0"/>
      <color theme="1"/>
      <name val="Arial"/>
    </font>
    <font>
      <i/>
      <u/>
      <sz val="10.0"/>
      <color theme="1"/>
      <name val="Arial"/>
    </font>
    <font>
      <sz val="10.0"/>
      <color theme="1"/>
      <name val="Noto Sans Symbols"/>
    </font>
    <font>
      <b/>
      <u/>
      <sz val="10.0"/>
      <color theme="1"/>
      <name val="Arial"/>
    </font>
    <font>
      <b/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5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3" numFmtId="2" xfId="0" applyAlignment="1" applyBorder="1" applyFont="1" applyNumberFormat="1">
      <alignment horizontal="center"/>
    </xf>
    <xf borderId="8" fillId="2" fontId="1" numFmtId="2" xfId="0" applyAlignment="1" applyBorder="1" applyFont="1" applyNumberFormat="1">
      <alignment horizontal="center"/>
    </xf>
    <xf borderId="9" fillId="2" fontId="3" numFmtId="2" xfId="0" applyAlignment="1" applyBorder="1" applyFont="1" applyNumberFormat="1">
      <alignment horizontal="center"/>
    </xf>
    <xf borderId="10" fillId="2" fontId="1" numFmtId="2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5" numFmtId="0" xfId="0" applyFont="1"/>
    <xf borderId="11" fillId="0" fontId="1" numFmtId="0" xfId="0" applyAlignment="1" applyBorder="1" applyFont="1">
      <alignment horizontal="center"/>
    </xf>
    <xf borderId="10" fillId="0" fontId="3" numFmtId="2" xfId="0" applyAlignment="1" applyBorder="1" applyFont="1" applyNumberFormat="1">
      <alignment horizontal="center"/>
    </xf>
    <xf borderId="12" fillId="2" fontId="3" numFmtId="2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14" fillId="0" fontId="3" numFmtId="2" xfId="0" applyAlignment="1" applyBorder="1" applyFont="1" applyNumberFormat="1">
      <alignment horizontal="center"/>
    </xf>
    <xf borderId="0" fillId="0" fontId="1" numFmtId="2" xfId="0" applyFont="1" applyNumberFormat="1"/>
    <xf borderId="0" fillId="0" fontId="6" numFmtId="0" xfId="0" applyAlignment="1" applyFont="1">
      <alignment horizontal="left"/>
    </xf>
    <xf borderId="0" fillId="0" fontId="7" numFmtId="0" xfId="0" applyFon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left"/>
    </xf>
    <xf borderId="1" fillId="2" fontId="1" numFmtId="0" xfId="0" applyBorder="1" applyFont="1"/>
    <xf borderId="0" fillId="0" fontId="3" numFmtId="165" xfId="0" applyAlignment="1" applyFont="1" applyNumberFormat="1">
      <alignment horizontal="left"/>
    </xf>
    <xf borderId="0" fillId="0" fontId="1" numFmtId="164" xfId="0" applyFont="1" applyNumberFormat="1"/>
    <xf borderId="15" fillId="2" fontId="3" numFmtId="2" xfId="0" applyAlignment="1" applyBorder="1" applyFont="1" applyNumberFormat="1">
      <alignment horizontal="center"/>
    </xf>
    <xf borderId="16" fillId="2" fontId="3" numFmtId="2" xfId="0" applyAlignment="1" applyBorder="1" applyFont="1" applyNumberFormat="1">
      <alignment horizontal="center"/>
    </xf>
    <xf borderId="17" fillId="0" fontId="3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23" fillId="0" fontId="8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14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0" fillId="0" fontId="9" numFmtId="0" xfId="0" applyAlignment="1" applyFont="1">
      <alignment horizontal="right"/>
    </xf>
    <xf borderId="0" fillId="0" fontId="1" numFmtId="167" xfId="0" applyAlignment="1" applyFont="1" applyNumberFormat="1">
      <alignment horizontal="left"/>
    </xf>
    <xf borderId="0" fillId="0" fontId="10" numFmtId="0" xfId="0" applyAlignment="1" applyFont="1">
      <alignment horizontal="right"/>
    </xf>
    <xf borderId="0" fillId="0" fontId="1" numFmtId="166" xfId="0" applyFont="1" applyNumberFormat="1"/>
    <xf borderId="0" fillId="0" fontId="3" numFmtId="0" xfId="0" applyAlignment="1" applyFont="1">
      <alignment horizontal="right"/>
    </xf>
    <xf borderId="0" fillId="0" fontId="11" numFmtId="0" xfId="0" applyAlignment="1" applyFont="1">
      <alignment horizontal="right"/>
    </xf>
    <xf borderId="0" fillId="0" fontId="12" numFmtId="9" xfId="0" applyAlignment="1" applyFont="1" applyNumberFormat="1">
      <alignment horizontal="left"/>
    </xf>
    <xf borderId="0" fillId="0" fontId="1" numFmtId="9" xfId="0" applyAlignment="1" applyFont="1" applyNumberFormat="1">
      <alignment horizontal="left"/>
    </xf>
    <xf borderId="0" fillId="0" fontId="3" numFmtId="168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0" fillId="0" fontId="8" numFmtId="0" xfId="0" applyFont="1"/>
    <xf borderId="0" fillId="0" fontId="3" numFmtId="0" xfId="0" applyFont="1"/>
    <xf borderId="0" fillId="0" fontId="3" numFmtId="0" xfId="0" applyAlignment="1" applyFont="1">
      <alignment horizontal="center" shrinkToFit="0" wrapText="1"/>
    </xf>
    <xf borderId="1" fillId="3" fontId="3" numFmtId="0" xfId="0" applyAlignment="1" applyBorder="1" applyFill="1" applyFont="1">
      <alignment horizontal="center" shrinkToFit="0" wrapText="1"/>
    </xf>
    <xf borderId="1" fillId="3" fontId="1" numFmtId="0" xfId="0" applyBorder="1" applyFont="1"/>
    <xf borderId="1" fillId="3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" fillId="2" fontId="1" numFmtId="2" xfId="0" applyAlignment="1" applyBorder="1" applyFont="1" applyNumberFormat="1">
      <alignment horizontal="center"/>
    </xf>
    <xf borderId="1" fillId="3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Arial"/>
              </a:defRPr>
            </a:pPr>
            <a:r>
              <a:rPr b="1" i="0" sz="900">
                <a:solidFill>
                  <a:srgbClr val="000000"/>
                </a:solidFill>
                <a:latin typeface="Arial"/>
              </a:rPr>
              <a:t>Fonction SCS (Sol saturé)</a:t>
            </a:r>
          </a:p>
        </c:rich>
      </c:tx>
      <c:layout>
        <c:manualLayout>
          <c:xMode val="edge"/>
          <c:yMode val="edge"/>
          <c:x val="0.4121343122122535"/>
          <c:y val="0.0319150041382845"/>
        </c:manualLayout>
      </c:layout>
      <c:overlay val="0"/>
    </c:title>
    <c:plotArea>
      <c:layout>
        <c:manualLayout>
          <c:xMode val="edge"/>
          <c:yMode val="edge"/>
          <c:x val="0.1673641877004075"/>
          <c:y val="0.23758947525167348"/>
          <c:w val="0.8033481009619557"/>
          <c:h val="0.5886545207728029"/>
        </c:manualLayout>
      </c:layout>
      <c:barChart>
        <c:barDir val="col"/>
        <c:ser>
          <c:idx val="0"/>
          <c:order val="0"/>
          <c:tx>
            <c:v>pluie brute</c:v>
          </c:tx>
          <c:spPr>
            <a:solidFill>
              <a:srgbClr val="CCFFFF"/>
            </a:solidFill>
            <a:ln cmpd="sng">
              <a:solidFill>
                <a:srgbClr val="000000"/>
              </a:solidFill>
            </a:ln>
          </c:spPr>
          <c:val>
            <c:numRef>
              <c:f>'TD 11'!$B$30:$B$42</c:f>
              <c:numCache/>
            </c:numRef>
          </c:val>
        </c:ser>
        <c:ser>
          <c:idx val="1"/>
          <c:order val="1"/>
          <c:tx>
            <c:v>Pluie nette</c:v>
          </c:tx>
          <c:spPr>
            <a:solidFill>
              <a:srgbClr val="3366FF"/>
            </a:solidFill>
            <a:ln cmpd="sng">
              <a:solidFill>
                <a:srgbClr val="000000"/>
              </a:solidFill>
            </a:ln>
          </c:spPr>
          <c:val>
            <c:numRef>
              <c:f>'TD 11'!$E$30:$E$42</c:f>
              <c:numCache/>
            </c:numRef>
          </c:val>
        </c:ser>
        <c:axId val="1258880750"/>
        <c:axId val="36097639"/>
      </c:barChart>
      <c:catAx>
        <c:axId val="1258880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800">
                    <a:solidFill>
                      <a:srgbClr val="000000"/>
                    </a:solidFill>
                    <a:latin typeface="Arial"/>
                  </a:rPr>
                  <a:t>Temps (h)</a:t>
                </a:r>
              </a:p>
            </c:rich>
          </c:tx>
          <c:layout>
            <c:manualLayout>
              <c:xMode val="edge"/>
              <c:yMode val="edge"/>
              <c:x val="0.5062766677937326"/>
              <c:y val="0.9113506737265685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36097639"/>
      </c:catAx>
      <c:valAx>
        <c:axId val="36097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800">
                    <a:solidFill>
                      <a:srgbClr val="000000"/>
                    </a:solidFill>
                    <a:latin typeface="Arial"/>
                  </a:rPr>
                  <a:t>Pluie (mm)</a:t>
                </a:r>
              </a:p>
            </c:rich>
          </c:tx>
          <c:layout>
            <c:manualLayout>
              <c:xMode val="edge"/>
              <c:yMode val="edge"/>
              <c:x val="0.0334728375400815"/>
              <c:y val="0.418441165368619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25888075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4288707309822943"/>
          <c:y val="0.14184446283682006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Arial"/>
              </a:defRPr>
            </a:pPr>
            <a:r>
              <a:rPr b="1" i="0" sz="1000">
                <a:solidFill>
                  <a:srgbClr val="000000"/>
                </a:solidFill>
                <a:latin typeface="Arial"/>
              </a:rPr>
              <a:t>Fonction SCS (Sol humide)</a:t>
            </a:r>
          </a:p>
        </c:rich>
      </c:tx>
      <c:layout>
        <c:manualLayout>
          <c:xMode val="edge"/>
          <c:yMode val="edge"/>
          <c:x val="0.37500076294100537"/>
          <c:y val="0.03928578279468261"/>
        </c:manualLayout>
      </c:layout>
      <c:overlay val="0"/>
    </c:title>
    <c:plotArea>
      <c:layout>
        <c:manualLayout>
          <c:xMode val="edge"/>
          <c:yMode val="edge"/>
          <c:x val="0.1666670057515579"/>
          <c:y val="0.2535718707656787"/>
          <c:w val="0.8041683027512667"/>
          <c:h val="0.5928581767197556"/>
        </c:manualLayout>
      </c:layout>
      <c:barChart>
        <c:barDir val="col"/>
        <c:ser>
          <c:idx val="0"/>
          <c:order val="0"/>
          <c:tx>
            <c:v>Pluie brute</c:v>
          </c:tx>
          <c:spPr>
            <a:solidFill>
              <a:srgbClr val="CCFFFF"/>
            </a:solidFill>
            <a:ln cmpd="sng">
              <a:solidFill>
                <a:srgbClr val="000000"/>
              </a:solidFill>
            </a:ln>
          </c:spPr>
          <c:val>
            <c:numRef>
              <c:f>'TD 11'!$B$6:$B$18</c:f>
              <c:numCache/>
            </c:numRef>
          </c:val>
        </c:ser>
        <c:ser>
          <c:idx val="1"/>
          <c:order val="1"/>
          <c:tx>
            <c:v>Pluie nette</c:v>
          </c:tx>
          <c:spPr>
            <a:solidFill>
              <a:srgbClr val="3366FF"/>
            </a:solidFill>
            <a:ln cmpd="sng">
              <a:solidFill>
                <a:srgbClr val="000000"/>
              </a:solidFill>
            </a:ln>
          </c:spPr>
          <c:val>
            <c:numRef>
              <c:f>'TD 11'!$E$6:$E$18</c:f>
              <c:numCache/>
            </c:numRef>
          </c:val>
        </c:ser>
        <c:axId val="132064801"/>
        <c:axId val="610984031"/>
      </c:barChart>
      <c:catAx>
        <c:axId val="132064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800">
                    <a:solidFill>
                      <a:srgbClr val="000000"/>
                    </a:solidFill>
                    <a:latin typeface="Arial"/>
                  </a:rPr>
                  <a:t>temps (h)</a:t>
                </a:r>
              </a:p>
            </c:rich>
          </c:tx>
          <c:layout>
            <c:manualLayout>
              <c:xMode val="edge"/>
              <c:yMode val="edge"/>
              <c:x val="0.5083343675422515"/>
              <c:y val="0.9107158738767331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610984031"/>
      </c:catAx>
      <c:valAx>
        <c:axId val="610984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800">
                    <a:solidFill>
                      <a:srgbClr val="000000"/>
                    </a:solidFill>
                    <a:latin typeface="Arial"/>
                  </a:rPr>
                  <a:t>Pluie (mm)</a:t>
                </a:r>
              </a:p>
            </c:rich>
          </c:tx>
          <c:layout>
            <c:manualLayout>
              <c:xMode val="edge"/>
              <c:yMode val="edge"/>
              <c:x val="0.03333340115031159"/>
              <c:y val="0.435715045541025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32064801"/>
      </c:valAx>
      <c:spPr>
        <a:solidFill>
          <a:srgbClr val="FFFFFF"/>
        </a:solidFill>
      </c:spPr>
    </c:plotArea>
    <c:legend>
      <c:legendPos val="t"/>
      <c:layout>
        <c:manualLayout>
          <c:xMode val="edge"/>
          <c:yMode val="edge"/>
          <c:x val="0.05416677686925634"/>
          <c:y val="0.046428652393715804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Evolution du coefficient de ruissellement durant la pluie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sol humide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'TD 11'!$A$6:$A$18</c:f>
            </c:numRef>
          </c:xVal>
          <c:yVal>
            <c:numRef>
              <c:f>'TD 11'!$F$6:$F$18</c:f>
              <c:numCache/>
            </c:numRef>
          </c:yVal>
        </c:ser>
        <c:ser>
          <c:idx val="1"/>
          <c:order val="1"/>
          <c:tx>
            <c:v>sol très humide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'TD 11'!$A$6:$A$18</c:f>
            </c:numRef>
          </c:xVal>
          <c:yVal>
            <c:numRef>
              <c:f>'TD 11'!$F$30:$F$42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36723"/>
        <c:axId val="224397881"/>
      </c:scatterChart>
      <c:valAx>
        <c:axId val="371036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 en heures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397881"/>
      </c:valAx>
      <c:valAx>
        <c:axId val="22439788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C(t)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036723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Lame ruisselée observée / calculée SCS</a:t>
            </a:r>
          </a:p>
        </c:rich>
      </c:tx>
      <c:layout>
        <c:manualLayout>
          <c:xMode val="edge"/>
          <c:yMode val="edge"/>
          <c:x val="0.1569452793164263"/>
          <c:y val="0.0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CN=50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'TD 11c'!$D$8:$D$28</c:f>
            </c:numRef>
          </c:xVal>
          <c:yVal>
            <c:numRef>
              <c:f>'TD 11c'!$E$8:$E$28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183041"/>
        <c:axId val="2027389608"/>
      </c:scatterChart>
      <c:valAx>
        <c:axId val="730183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Lame ruisselée observée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389608"/>
      </c:valAx>
      <c:valAx>
        <c:axId val="2027389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Lame ruisselée calculée SCS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183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533400</xdr:colOff>
      <xdr:row>25</xdr:row>
      <xdr:rowOff>133350</xdr:rowOff>
    </xdr:from>
    <xdr:ext cx="4410075" cy="2647950"/>
    <xdr:graphicFrame>
      <xdr:nvGraphicFramePr>
        <xdr:cNvPr id="93947168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3</xdr:row>
      <xdr:rowOff>38100</xdr:rowOff>
    </xdr:from>
    <xdr:ext cx="4429125" cy="2619375"/>
    <xdr:graphicFrame>
      <xdr:nvGraphicFramePr>
        <xdr:cNvPr id="16846226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276225</xdr:colOff>
      <xdr:row>13</xdr:row>
      <xdr:rowOff>47625</xdr:rowOff>
    </xdr:from>
    <xdr:ext cx="4572000" cy="3486150"/>
    <xdr:graphicFrame>
      <xdr:nvGraphicFramePr>
        <xdr:cNvPr id="16813134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29</xdr:row>
      <xdr:rowOff>133350</xdr:rowOff>
    </xdr:from>
    <xdr:ext cx="5562600" cy="3257550"/>
    <xdr:graphicFrame>
      <xdr:nvGraphicFramePr>
        <xdr:cNvPr id="94783224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TD11%20-%20%20SC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D 11"/>
      <sheetName val="TD 11b"/>
      <sheetName val="TD 11c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2.0"/>
    <col customWidth="1" min="3" max="3" width="10.71"/>
    <col customWidth="1" min="4" max="4" width="10.14"/>
    <col customWidth="1" min="5" max="5" width="10.71"/>
    <col customWidth="1" min="6" max="6" width="10.86"/>
    <col customWidth="1" min="7" max="7" width="10.71"/>
    <col customWidth="1" min="8" max="8" width="8.43"/>
    <col customWidth="1" min="9" max="9" width="1.14"/>
    <col customWidth="1" min="10" max="10" width="9.29"/>
    <col customWidth="1" min="11" max="12" width="12.86"/>
    <col customWidth="1" min="13" max="26" width="10.71"/>
  </cols>
  <sheetData>
    <row r="1" ht="12.75" customHeight="1">
      <c r="A1" s="1" t="s">
        <v>0</v>
      </c>
    </row>
    <row r="2" ht="12.75" customHeight="1">
      <c r="B2" s="2">
        <v>146.1</v>
      </c>
      <c r="D2" s="3" t="s">
        <v>1</v>
      </c>
      <c r="E2" s="3">
        <f>0.2*B2</f>
        <v>29.22</v>
      </c>
    </row>
    <row r="3" ht="12.75" customHeight="1"/>
    <row r="4" ht="12.75" customHeight="1">
      <c r="A4" s="4" t="s">
        <v>2</v>
      </c>
    </row>
    <row r="5" ht="12.75" customHeight="1">
      <c r="A5" s="5" t="s">
        <v>3</v>
      </c>
      <c r="B5" s="6" t="s">
        <v>4</v>
      </c>
      <c r="C5" s="7" t="s">
        <v>5</v>
      </c>
      <c r="D5" s="7" t="s">
        <v>6</v>
      </c>
      <c r="E5" s="8" t="s">
        <v>7</v>
      </c>
      <c r="F5" s="9" t="s">
        <v>8</v>
      </c>
    </row>
    <row r="6" ht="12.75" customHeight="1">
      <c r="A6" s="10">
        <v>1.0</v>
      </c>
      <c r="B6" s="11">
        <v>2.803909232746136</v>
      </c>
      <c r="C6" s="12">
        <f>B6</f>
        <v>2.803909233</v>
      </c>
      <c r="D6" s="12">
        <f t="shared" ref="D6:D18" si="1">IF(C6&lt;$E$2,0,(C6-0.2*$B$2)^2/(C6+0.8*$B$2))</f>
        <v>0</v>
      </c>
      <c r="E6" s="13">
        <f>D6</f>
        <v>0</v>
      </c>
      <c r="F6" s="14">
        <f t="shared" ref="F6:F18" si="2">D6/C6</f>
        <v>0</v>
      </c>
      <c r="H6" s="15"/>
      <c r="S6" s="16">
        <f>4.35*35*4</f>
        <v>609</v>
      </c>
    </row>
    <row r="7" ht="12.75" customHeight="1">
      <c r="A7" s="17">
        <v>2.0</v>
      </c>
      <c r="B7" s="18">
        <v>3.2645453068909376</v>
      </c>
      <c r="C7" s="14">
        <f>B6+B7</f>
        <v>6.06845454</v>
      </c>
      <c r="D7" s="12">
        <f t="shared" si="1"/>
        <v>0</v>
      </c>
      <c r="E7" s="19">
        <f t="shared" ref="E7:E18" si="3">D7-D6</f>
        <v>0</v>
      </c>
      <c r="F7" s="14">
        <f t="shared" si="2"/>
        <v>0</v>
      </c>
    </row>
    <row r="8" ht="12.75" customHeight="1">
      <c r="A8" s="17">
        <v>3.0</v>
      </c>
      <c r="B8" s="18">
        <v>3.9344415047320496</v>
      </c>
      <c r="C8" s="14">
        <f t="shared" ref="C8:C18" si="4">C7+B8</f>
        <v>10.00289604</v>
      </c>
      <c r="D8" s="12">
        <f t="shared" si="1"/>
        <v>0</v>
      </c>
      <c r="E8" s="19">
        <f t="shared" si="3"/>
        <v>0</v>
      </c>
      <c r="F8" s="14">
        <f t="shared" si="2"/>
        <v>0</v>
      </c>
    </row>
    <row r="9" ht="12.75" customHeight="1">
      <c r="A9" s="17">
        <v>4.0</v>
      </c>
      <c r="B9" s="18">
        <v>5.011213636286357</v>
      </c>
      <c r="C9" s="14">
        <f t="shared" si="4"/>
        <v>15.01410968</v>
      </c>
      <c r="D9" s="12">
        <f t="shared" si="1"/>
        <v>0</v>
      </c>
      <c r="E9" s="19">
        <f t="shared" si="3"/>
        <v>0</v>
      </c>
      <c r="F9" s="14">
        <f t="shared" si="2"/>
        <v>0</v>
      </c>
    </row>
    <row r="10" ht="12.75" customHeight="1">
      <c r="A10" s="17">
        <v>5.0</v>
      </c>
      <c r="B10" s="18">
        <v>7.080526947494491</v>
      </c>
      <c r="C10" s="14">
        <f t="shared" si="4"/>
        <v>22.09463663</v>
      </c>
      <c r="D10" s="12">
        <f t="shared" si="1"/>
        <v>0</v>
      </c>
      <c r="E10" s="19">
        <f t="shared" si="3"/>
        <v>0</v>
      </c>
      <c r="F10" s="14">
        <f t="shared" si="2"/>
        <v>0</v>
      </c>
    </row>
    <row r="11" ht="12.75" customHeight="1">
      <c r="A11" s="17">
        <v>6.0</v>
      </c>
      <c r="B11" s="18">
        <v>13.29595264203725</v>
      </c>
      <c r="C11" s="14">
        <f t="shared" si="4"/>
        <v>35.39058927</v>
      </c>
      <c r="D11" s="12">
        <f t="shared" si="1"/>
        <v>0.2500559834</v>
      </c>
      <c r="E11" s="19">
        <f t="shared" si="3"/>
        <v>0.2500559834</v>
      </c>
      <c r="F11" s="14">
        <f t="shared" si="2"/>
        <v>0.007065606664</v>
      </c>
    </row>
    <row r="12" ht="12.75" customHeight="1">
      <c r="A12" s="17">
        <v>7.0</v>
      </c>
      <c r="B12" s="18">
        <v>129.5</v>
      </c>
      <c r="C12" s="14">
        <f t="shared" si="4"/>
        <v>164.8905893</v>
      </c>
      <c r="D12" s="12">
        <f t="shared" si="1"/>
        <v>65.32445008</v>
      </c>
      <c r="E12" s="19">
        <f t="shared" si="3"/>
        <v>65.0743941</v>
      </c>
      <c r="F12" s="14">
        <f t="shared" si="2"/>
        <v>0.3961684555</v>
      </c>
    </row>
    <row r="13" ht="12.75" customHeight="1">
      <c r="A13" s="17">
        <v>8.0</v>
      </c>
      <c r="B13" s="18">
        <v>13.29595264203725</v>
      </c>
      <c r="C13" s="14">
        <f t="shared" si="4"/>
        <v>178.1865419</v>
      </c>
      <c r="D13" s="12">
        <f t="shared" si="1"/>
        <v>75.20686848</v>
      </c>
      <c r="E13" s="19">
        <f t="shared" si="3"/>
        <v>9.882418396</v>
      </c>
      <c r="F13" s="14">
        <f t="shared" si="2"/>
        <v>0.4220681746</v>
      </c>
    </row>
    <row r="14" ht="12.75" customHeight="1">
      <c r="A14" s="17">
        <v>9.0</v>
      </c>
      <c r="B14" s="18">
        <v>7.080526947494491</v>
      </c>
      <c r="C14" s="14">
        <f t="shared" si="4"/>
        <v>185.2670689</v>
      </c>
      <c r="D14" s="12">
        <f t="shared" si="1"/>
        <v>80.59216921</v>
      </c>
      <c r="E14" s="19">
        <f t="shared" si="3"/>
        <v>5.385300733</v>
      </c>
      <c r="F14" s="14">
        <f t="shared" si="2"/>
        <v>0.4350053666</v>
      </c>
    </row>
    <row r="15" ht="12.75" customHeight="1">
      <c r="A15" s="17">
        <v>10.0</v>
      </c>
      <c r="B15" s="18">
        <v>5.011213636286357</v>
      </c>
      <c r="C15" s="14">
        <f t="shared" si="4"/>
        <v>190.2782825</v>
      </c>
      <c r="D15" s="12">
        <f t="shared" si="1"/>
        <v>84.45082499</v>
      </c>
      <c r="E15" s="19">
        <f t="shared" si="3"/>
        <v>3.858655785</v>
      </c>
      <c r="F15" s="14">
        <f t="shared" si="2"/>
        <v>0.443827976</v>
      </c>
    </row>
    <row r="16" ht="12.75" customHeight="1">
      <c r="A16" s="17">
        <v>11.0</v>
      </c>
      <c r="B16" s="18">
        <v>3.9344415047320496</v>
      </c>
      <c r="C16" s="14">
        <f t="shared" si="4"/>
        <v>194.212724</v>
      </c>
      <c r="D16" s="12">
        <f t="shared" si="1"/>
        <v>87.50638274</v>
      </c>
      <c r="E16" s="19">
        <f t="shared" si="3"/>
        <v>3.055557743</v>
      </c>
      <c r="F16" s="14">
        <f t="shared" si="2"/>
        <v>0.4505697718</v>
      </c>
    </row>
    <row r="17" ht="12.75" customHeight="1">
      <c r="A17" s="17">
        <v>12.0</v>
      </c>
      <c r="B17" s="18">
        <v>3.2645453068909376</v>
      </c>
      <c r="C17" s="14">
        <f t="shared" si="4"/>
        <v>197.4772693</v>
      </c>
      <c r="D17" s="12">
        <f t="shared" si="1"/>
        <v>90.05838719</v>
      </c>
      <c r="E17" s="19">
        <f t="shared" si="3"/>
        <v>2.552004451</v>
      </c>
      <c r="F17" s="14">
        <f t="shared" si="2"/>
        <v>0.456044321</v>
      </c>
    </row>
    <row r="18" ht="12.75" customHeight="1">
      <c r="A18" s="20">
        <v>13.0</v>
      </c>
      <c r="B18" s="21">
        <v>2.803909232746136</v>
      </c>
      <c r="C18" s="14">
        <f t="shared" si="4"/>
        <v>200.2811785</v>
      </c>
      <c r="D18" s="12">
        <f t="shared" si="1"/>
        <v>92.26200678</v>
      </c>
      <c r="E18" s="19">
        <f t="shared" si="3"/>
        <v>2.203619588</v>
      </c>
      <c r="F18" s="14">
        <f t="shared" si="2"/>
        <v>0.460662392</v>
      </c>
    </row>
    <row r="19" ht="12.75" customHeight="1">
      <c r="B19" s="22">
        <f>SUM(B6:B18)</f>
        <v>200.2811785</v>
      </c>
      <c r="D19" s="23"/>
    </row>
    <row r="20" ht="12.75" customHeight="1"/>
    <row r="21" ht="12.75" customHeight="1"/>
    <row r="22" ht="12.75" customHeight="1">
      <c r="A22" s="4"/>
    </row>
    <row r="23" ht="12.75" customHeight="1">
      <c r="A23" s="4"/>
    </row>
    <row r="24" ht="12.75" customHeight="1">
      <c r="A24" s="24"/>
    </row>
    <row r="25" ht="12.75" customHeight="1">
      <c r="A25" s="1" t="s">
        <v>9</v>
      </c>
      <c r="F25" s="25"/>
      <c r="G25" s="26"/>
    </row>
    <row r="26" ht="12.75" customHeight="1">
      <c r="B26" s="27">
        <v>63.5</v>
      </c>
      <c r="F26" s="25"/>
      <c r="G26" s="26"/>
    </row>
    <row r="27" ht="12.75" customHeight="1">
      <c r="B27" s="25"/>
      <c r="F27" s="25"/>
      <c r="G27" s="28"/>
    </row>
    <row r="28" ht="12.75" customHeight="1">
      <c r="A28" s="4" t="s">
        <v>2</v>
      </c>
    </row>
    <row r="29" ht="12.75" customHeight="1">
      <c r="A29" s="5" t="s">
        <v>3</v>
      </c>
      <c r="B29" s="6" t="s">
        <v>4</v>
      </c>
      <c r="C29" s="7" t="s">
        <v>10</v>
      </c>
      <c r="D29" s="7" t="s">
        <v>11</v>
      </c>
      <c r="E29" s="8" t="s">
        <v>7</v>
      </c>
      <c r="F29" s="9" t="s">
        <v>12</v>
      </c>
      <c r="G29" s="15"/>
      <c r="N29" s="29"/>
    </row>
    <row r="30" ht="12.75" customHeight="1">
      <c r="A30" s="10">
        <v>1.0</v>
      </c>
      <c r="B30" s="11">
        <v>2.803909232746136</v>
      </c>
      <c r="C30" s="12">
        <f>B30</f>
        <v>2.803909233</v>
      </c>
      <c r="D30" s="12">
        <f t="shared" ref="D30:D42" si="5">IF(C30&lt;(0.2*$B$26),0,(C30-0.2*$B$26)^2/(C30+0.8*$B$26))</f>
        <v>0</v>
      </c>
      <c r="E30" s="30">
        <f>D30</f>
        <v>0</v>
      </c>
      <c r="F30" s="14">
        <f t="shared" ref="F30:F42" si="6">D30/C30</f>
        <v>0</v>
      </c>
      <c r="N30" s="29"/>
    </row>
    <row r="31" ht="12.75" customHeight="1">
      <c r="A31" s="17">
        <v>2.0</v>
      </c>
      <c r="B31" s="18">
        <v>3.2645453068909376</v>
      </c>
      <c r="C31" s="14">
        <f t="shared" ref="C31:C42" si="7">C30+B31</f>
        <v>6.06845454</v>
      </c>
      <c r="D31" s="12">
        <f t="shared" si="5"/>
        <v>0</v>
      </c>
      <c r="E31" s="31">
        <f t="shared" ref="E31:E42" si="8">D31-D30</f>
        <v>0</v>
      </c>
      <c r="F31" s="14">
        <f t="shared" si="6"/>
        <v>0</v>
      </c>
      <c r="N31" s="29"/>
    </row>
    <row r="32" ht="12.75" customHeight="1">
      <c r="A32" s="17">
        <v>3.0</v>
      </c>
      <c r="B32" s="18">
        <v>3.9344415047320496</v>
      </c>
      <c r="C32" s="14">
        <f t="shared" si="7"/>
        <v>10.00289604</v>
      </c>
      <c r="D32" s="12">
        <f t="shared" si="5"/>
        <v>0</v>
      </c>
      <c r="E32" s="31">
        <f t="shared" si="8"/>
        <v>0</v>
      </c>
      <c r="F32" s="14">
        <f t="shared" si="6"/>
        <v>0</v>
      </c>
      <c r="N32" s="29"/>
    </row>
    <row r="33" ht="12.75" customHeight="1">
      <c r="A33" s="17">
        <v>4.0</v>
      </c>
      <c r="B33" s="18">
        <v>5.011213636286357</v>
      </c>
      <c r="C33" s="14">
        <f t="shared" si="7"/>
        <v>15.01410968</v>
      </c>
      <c r="D33" s="12">
        <f t="shared" si="5"/>
        <v>0.08136710563</v>
      </c>
      <c r="E33" s="31">
        <f t="shared" si="8"/>
        <v>0.08136710563</v>
      </c>
      <c r="F33" s="14">
        <f t="shared" si="6"/>
        <v>0.005419375997</v>
      </c>
      <c r="N33" s="29"/>
    </row>
    <row r="34" ht="12.75" customHeight="1">
      <c r="A34" s="17">
        <v>5.0</v>
      </c>
      <c r="B34" s="18">
        <v>7.080526947494491</v>
      </c>
      <c r="C34" s="14">
        <f t="shared" si="7"/>
        <v>22.09463663</v>
      </c>
      <c r="D34" s="12">
        <f t="shared" si="5"/>
        <v>1.210777657</v>
      </c>
      <c r="E34" s="31">
        <f t="shared" si="8"/>
        <v>1.129410552</v>
      </c>
      <c r="F34" s="14">
        <f t="shared" si="6"/>
        <v>0.05479961847</v>
      </c>
      <c r="N34" s="29"/>
    </row>
    <row r="35" ht="12.75" customHeight="1">
      <c r="A35" s="17">
        <v>6.0</v>
      </c>
      <c r="B35" s="18">
        <v>13.29595264203725</v>
      </c>
      <c r="C35" s="14">
        <f t="shared" si="7"/>
        <v>35.39058927</v>
      </c>
      <c r="D35" s="12">
        <f t="shared" si="5"/>
        <v>5.973538942</v>
      </c>
      <c r="E35" s="31">
        <f t="shared" si="8"/>
        <v>4.762761284</v>
      </c>
      <c r="F35" s="14">
        <f t="shared" si="6"/>
        <v>0.1687889087</v>
      </c>
      <c r="N35" s="29"/>
    </row>
    <row r="36" ht="12.75" customHeight="1">
      <c r="A36" s="17">
        <v>7.0</v>
      </c>
      <c r="B36" s="18">
        <v>129.5</v>
      </c>
      <c r="C36" s="14">
        <f t="shared" si="7"/>
        <v>164.8905893</v>
      </c>
      <c r="D36" s="12">
        <f t="shared" si="5"/>
        <v>107.3851926</v>
      </c>
      <c r="E36" s="31">
        <f t="shared" si="8"/>
        <v>101.4116536</v>
      </c>
      <c r="F36" s="14">
        <f t="shared" si="6"/>
        <v>0.6512511905</v>
      </c>
      <c r="N36" s="29"/>
    </row>
    <row r="37" ht="12.75" customHeight="1">
      <c r="A37" s="17">
        <v>8.0</v>
      </c>
      <c r="B37" s="18">
        <v>13.29595264203725</v>
      </c>
      <c r="C37" s="14">
        <f t="shared" si="7"/>
        <v>178.1865419</v>
      </c>
      <c r="D37" s="12">
        <f t="shared" si="5"/>
        <v>119.5956554</v>
      </c>
      <c r="E37" s="31">
        <f t="shared" si="8"/>
        <v>12.21046282</v>
      </c>
      <c r="F37" s="14">
        <f t="shared" si="6"/>
        <v>0.6711823132</v>
      </c>
      <c r="N37" s="29"/>
    </row>
    <row r="38" ht="12.75" customHeight="1">
      <c r="A38" s="17">
        <v>9.0</v>
      </c>
      <c r="B38" s="18">
        <v>7.080526947494491</v>
      </c>
      <c r="C38" s="14">
        <f t="shared" si="7"/>
        <v>185.2670689</v>
      </c>
      <c r="D38" s="12">
        <f t="shared" si="5"/>
        <v>126.1480197</v>
      </c>
      <c r="E38" s="31">
        <f t="shared" si="8"/>
        <v>6.552364324</v>
      </c>
      <c r="F38" s="14">
        <f t="shared" si="6"/>
        <v>0.6808982324</v>
      </c>
      <c r="N38" s="29"/>
    </row>
    <row r="39" ht="12.75" customHeight="1">
      <c r="A39" s="17">
        <v>10.0</v>
      </c>
      <c r="B39" s="18">
        <v>5.011213636286357</v>
      </c>
      <c r="C39" s="14">
        <f t="shared" si="7"/>
        <v>190.2782825</v>
      </c>
      <c r="D39" s="12">
        <f t="shared" si="5"/>
        <v>130.8041773</v>
      </c>
      <c r="E39" s="31">
        <f t="shared" si="8"/>
        <v>4.656157623</v>
      </c>
      <c r="F39" s="14">
        <f t="shared" si="6"/>
        <v>0.6874361888</v>
      </c>
      <c r="N39" s="29"/>
    </row>
    <row r="40" ht="12.75" customHeight="1">
      <c r="A40" s="17">
        <v>11.0</v>
      </c>
      <c r="B40" s="18">
        <v>3.9344415047320496</v>
      </c>
      <c r="C40" s="14">
        <f t="shared" si="7"/>
        <v>194.212724</v>
      </c>
      <c r="D40" s="12">
        <f t="shared" si="5"/>
        <v>134.4700326</v>
      </c>
      <c r="E40" s="31">
        <f t="shared" si="8"/>
        <v>3.66585523</v>
      </c>
      <c r="F40" s="14">
        <f t="shared" si="6"/>
        <v>0.6923852866</v>
      </c>
      <c r="N40" s="29"/>
    </row>
    <row r="41" ht="12.75" customHeight="1">
      <c r="A41" s="17">
        <v>12.0</v>
      </c>
      <c r="B41" s="18">
        <v>3.2645453068909376</v>
      </c>
      <c r="C41" s="14">
        <f t="shared" si="7"/>
        <v>197.4772693</v>
      </c>
      <c r="D41" s="12">
        <f t="shared" si="5"/>
        <v>137.5181842</v>
      </c>
      <c r="E41" s="31">
        <f t="shared" si="8"/>
        <v>3.048151637</v>
      </c>
      <c r="F41" s="14">
        <f t="shared" si="6"/>
        <v>0.6963747508</v>
      </c>
      <c r="N41" s="29"/>
    </row>
    <row r="42" ht="12.75" customHeight="1">
      <c r="A42" s="20">
        <v>13.0</v>
      </c>
      <c r="B42" s="21">
        <v>2.803909232746136</v>
      </c>
      <c r="C42" s="14">
        <f t="shared" si="7"/>
        <v>200.2811785</v>
      </c>
      <c r="D42" s="12">
        <f t="shared" si="5"/>
        <v>140.1407256</v>
      </c>
      <c r="E42" s="31">
        <f t="shared" si="8"/>
        <v>2.622541392</v>
      </c>
      <c r="F42" s="14">
        <f t="shared" si="6"/>
        <v>0.6997198969</v>
      </c>
    </row>
    <row r="43" ht="12.75" customHeight="1">
      <c r="B43" s="22">
        <f>SUM(B30:B42)</f>
        <v>200.2811785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251969" footer="0.0" header="0.0" left="0.787401575" right="0.787401575" top="0.984251969"/>
  <pageSetup paperSize="9" orientation="portrait"/>
  <headerFooter>
    <oddHeader>&amp;LSTE4&amp;CHydrologie&amp;RTD11</oddHead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5.86"/>
    <col customWidth="1" min="4" max="4" width="4.71"/>
    <col customWidth="1" min="5" max="6" width="10.71"/>
    <col customWidth="1" min="7" max="7" width="12.0"/>
    <col customWidth="1" min="8" max="9" width="10.71"/>
    <col customWidth="1" min="10" max="10" width="2.14"/>
    <col customWidth="1" min="11" max="26" width="10.71"/>
  </cols>
  <sheetData>
    <row r="1" ht="12.75" customHeight="1">
      <c r="A1" s="32" t="s">
        <v>13</v>
      </c>
      <c r="B1" s="33"/>
      <c r="C1" s="33"/>
      <c r="D1" s="33"/>
      <c r="E1" s="34"/>
    </row>
    <row r="2" ht="12.75" customHeight="1"/>
    <row r="3" ht="12.75" customHeight="1">
      <c r="A3" s="35" t="s">
        <v>14</v>
      </c>
      <c r="B3" s="36" t="s">
        <v>15</v>
      </c>
      <c r="C3" s="37" t="s">
        <v>16</v>
      </c>
    </row>
    <row r="4" ht="12.75" customHeight="1">
      <c r="A4" s="38" t="s">
        <v>17</v>
      </c>
      <c r="B4" s="39" t="s">
        <v>18</v>
      </c>
      <c r="C4" s="40" t="s">
        <v>19</v>
      </c>
      <c r="E4" s="3" t="s">
        <v>20</v>
      </c>
      <c r="F4" s="3">
        <f>SUM(B5:B24)</f>
        <v>66.8</v>
      </c>
    </row>
    <row r="5" ht="12.75" customHeight="1">
      <c r="A5" s="10">
        <v>1.0</v>
      </c>
      <c r="B5" s="41">
        <v>0.1</v>
      </c>
      <c r="C5" s="42">
        <v>0.0</v>
      </c>
      <c r="E5" s="3"/>
      <c r="F5" s="3"/>
    </row>
    <row r="6" ht="12.75" customHeight="1">
      <c r="A6" s="17">
        <v>2.0</v>
      </c>
      <c r="B6" s="43">
        <v>1.1</v>
      </c>
      <c r="C6" s="44">
        <v>0.0</v>
      </c>
      <c r="E6" s="3" t="s">
        <v>21</v>
      </c>
      <c r="F6" s="3">
        <f>(SUM(C5:C24)*3600)/(6/10^-6)</f>
        <v>2.5956</v>
      </c>
    </row>
    <row r="7" ht="12.75" customHeight="1">
      <c r="A7" s="17">
        <v>3.0</v>
      </c>
      <c r="B7" s="43">
        <v>1.7</v>
      </c>
      <c r="C7" s="44">
        <v>0.0</v>
      </c>
      <c r="E7" s="3"/>
      <c r="F7" s="3"/>
    </row>
    <row r="8" ht="12.75" customHeight="1">
      <c r="A8" s="17">
        <v>4.0</v>
      </c>
      <c r="B8" s="43">
        <v>43.4</v>
      </c>
      <c r="C8" s="44">
        <v>0.0</v>
      </c>
      <c r="E8" s="3" t="s">
        <v>22</v>
      </c>
      <c r="F8" s="45">
        <f>F6/F4</f>
        <v>0.03885628743</v>
      </c>
    </row>
    <row r="9" ht="12.75" customHeight="1">
      <c r="A9" s="17">
        <v>5.0</v>
      </c>
      <c r="B9" s="43">
        <v>18.8</v>
      </c>
      <c r="C9" s="44">
        <v>160.0</v>
      </c>
      <c r="F9" s="25"/>
    </row>
    <row r="10" ht="12.75" customHeight="1">
      <c r="A10" s="17">
        <v>6.0</v>
      </c>
      <c r="B10" s="43">
        <v>0.1</v>
      </c>
      <c r="C10" s="44">
        <v>1250.0</v>
      </c>
    </row>
    <row r="11" ht="12.75" customHeight="1">
      <c r="A11" s="17">
        <v>7.0</v>
      </c>
      <c r="B11" s="43">
        <v>0.1</v>
      </c>
      <c r="C11" s="44">
        <v>254.0</v>
      </c>
      <c r="E11" s="1"/>
      <c r="F11" s="1"/>
      <c r="G11" s="1"/>
      <c r="H11" s="1"/>
      <c r="I11" s="1"/>
      <c r="J11" s="1"/>
      <c r="K11" s="1"/>
    </row>
    <row r="12" ht="12.75" customHeight="1">
      <c r="A12" s="17">
        <v>8.0</v>
      </c>
      <c r="B12" s="43">
        <v>0.3</v>
      </c>
      <c r="C12" s="44">
        <v>298.0</v>
      </c>
      <c r="E12" s="1"/>
      <c r="F12" s="1"/>
      <c r="G12" s="1"/>
      <c r="H12" s="1"/>
      <c r="I12" s="1"/>
      <c r="J12" s="1"/>
      <c r="K12" s="1"/>
    </row>
    <row r="13" ht="12.75" customHeight="1">
      <c r="A13" s="17">
        <v>9.0</v>
      </c>
      <c r="B13" s="43">
        <v>0.8</v>
      </c>
      <c r="C13" s="44">
        <v>466.0</v>
      </c>
      <c r="E13" s="1"/>
      <c r="F13" s="1"/>
      <c r="G13" s="1"/>
      <c r="H13" s="1"/>
      <c r="I13" s="1"/>
      <c r="J13" s="1"/>
      <c r="K13" s="1"/>
    </row>
    <row r="14" ht="12.75" customHeight="1">
      <c r="A14" s="17">
        <v>10.0</v>
      </c>
      <c r="B14" s="43">
        <v>0.4</v>
      </c>
      <c r="C14" s="44">
        <v>483.0</v>
      </c>
      <c r="E14" s="1"/>
      <c r="F14" s="1"/>
      <c r="G14" s="1"/>
      <c r="H14" s="1"/>
      <c r="I14" s="1"/>
      <c r="J14" s="1"/>
      <c r="K14" s="1"/>
    </row>
    <row r="15" ht="12.75" customHeight="1">
      <c r="A15" s="17">
        <v>11.0</v>
      </c>
      <c r="B15" s="43">
        <v>0.0</v>
      </c>
      <c r="C15" s="44">
        <v>354.0</v>
      </c>
      <c r="E15" s="1"/>
      <c r="F15" s="1"/>
      <c r="G15" s="1"/>
      <c r="H15" s="1"/>
      <c r="I15" s="1"/>
      <c r="J15" s="1"/>
      <c r="K15" s="1"/>
    </row>
    <row r="16" ht="12.75" customHeight="1">
      <c r="A16" s="17">
        <v>12.0</v>
      </c>
      <c r="B16" s="43">
        <v>0.0</v>
      </c>
      <c r="C16" s="44">
        <v>253.0</v>
      </c>
      <c r="E16" s="1"/>
      <c r="F16" s="1"/>
      <c r="G16" s="1"/>
      <c r="H16" s="1"/>
      <c r="I16" s="1"/>
      <c r="J16" s="1"/>
      <c r="K16" s="1"/>
    </row>
    <row r="17" ht="12.75" customHeight="1">
      <c r="A17" s="17">
        <v>13.0</v>
      </c>
      <c r="B17" s="43">
        <v>0.0</v>
      </c>
      <c r="C17" s="44">
        <v>199.0</v>
      </c>
      <c r="E17" s="1"/>
      <c r="F17" s="1"/>
      <c r="G17" s="1"/>
      <c r="H17" s="1"/>
      <c r="I17" s="1"/>
      <c r="J17" s="1"/>
      <c r="K17" s="1"/>
    </row>
    <row r="18" ht="12.75" customHeight="1">
      <c r="A18" s="17">
        <v>14.0</v>
      </c>
      <c r="B18" s="43">
        <v>0.0</v>
      </c>
      <c r="C18" s="44">
        <v>151.0</v>
      </c>
      <c r="E18" s="1"/>
      <c r="F18" s="1"/>
      <c r="G18" s="1"/>
      <c r="H18" s="1"/>
      <c r="I18" s="1"/>
      <c r="J18" s="1"/>
      <c r="K18" s="1"/>
    </row>
    <row r="19" ht="12.75" customHeight="1">
      <c r="A19" s="17">
        <v>15.0</v>
      </c>
      <c r="B19" s="43">
        <v>0.0</v>
      </c>
      <c r="C19" s="44">
        <v>117.0</v>
      </c>
      <c r="E19" s="1"/>
      <c r="F19" s="1"/>
      <c r="G19" s="1"/>
      <c r="H19" s="1"/>
      <c r="I19" s="1"/>
      <c r="J19" s="1"/>
      <c r="K19" s="1"/>
    </row>
    <row r="20" ht="12.75" customHeight="1">
      <c r="A20" s="17">
        <v>16.0</v>
      </c>
      <c r="B20" s="43">
        <v>0.0</v>
      </c>
      <c r="C20" s="44">
        <v>93.0</v>
      </c>
      <c r="E20" s="1"/>
      <c r="F20" s="1"/>
      <c r="G20" s="46"/>
      <c r="H20" s="1"/>
      <c r="I20" s="1"/>
      <c r="J20" s="1"/>
      <c r="K20" s="1"/>
    </row>
    <row r="21" ht="12.75" customHeight="1">
      <c r="A21" s="17">
        <v>17.0</v>
      </c>
      <c r="B21" s="43">
        <v>0.0</v>
      </c>
      <c r="C21" s="44">
        <v>77.0</v>
      </c>
      <c r="E21" s="1"/>
      <c r="F21" s="1"/>
      <c r="G21" s="1"/>
      <c r="H21" s="1"/>
      <c r="I21" s="1"/>
      <c r="J21" s="1"/>
      <c r="K21" s="1"/>
    </row>
    <row r="22" ht="12.75" customHeight="1">
      <c r="A22" s="17">
        <v>18.0</v>
      </c>
      <c r="B22" s="43">
        <v>0.0</v>
      </c>
      <c r="C22" s="44">
        <v>65.0</v>
      </c>
      <c r="E22" s="1"/>
      <c r="F22" s="1"/>
      <c r="G22" s="1"/>
      <c r="H22" s="1"/>
      <c r="I22" s="1"/>
      <c r="J22" s="1"/>
      <c r="K22" s="1"/>
    </row>
    <row r="23" ht="12.75" customHeight="1">
      <c r="A23" s="17">
        <v>19.0</v>
      </c>
      <c r="B23" s="43">
        <v>0.0</v>
      </c>
      <c r="C23" s="44">
        <v>57.0</v>
      </c>
      <c r="E23" s="1"/>
      <c r="F23" s="1"/>
      <c r="G23" s="47"/>
      <c r="H23" s="1"/>
      <c r="I23" s="1"/>
      <c r="J23" s="1"/>
      <c r="K23" s="1"/>
    </row>
    <row r="24" ht="12.75" customHeight="1">
      <c r="A24" s="20">
        <v>20.0</v>
      </c>
      <c r="B24" s="48">
        <v>0.0</v>
      </c>
      <c r="C24" s="49">
        <v>49.0</v>
      </c>
      <c r="G24" s="47"/>
    </row>
    <row r="25" ht="12.75" customHeight="1">
      <c r="F25" s="25"/>
    </row>
    <row r="26" ht="12.75" customHeight="1">
      <c r="A26" s="1"/>
      <c r="B26" s="1"/>
      <c r="C26" s="1"/>
      <c r="D26" s="1"/>
      <c r="E26" s="1"/>
      <c r="F26" s="1"/>
      <c r="G26" s="50"/>
      <c r="H26" s="51"/>
      <c r="I26" s="1"/>
      <c r="J26" s="1"/>
      <c r="K26" s="1"/>
      <c r="L26" s="1"/>
    </row>
    <row r="27" ht="9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2.75" customHeight="1">
      <c r="A30" s="1"/>
      <c r="B30" s="1"/>
      <c r="C30" s="1"/>
      <c r="D30" s="52"/>
      <c r="E30" s="26"/>
      <c r="F30" s="1"/>
      <c r="G30" s="1"/>
      <c r="H30" s="1"/>
      <c r="I30" s="1"/>
      <c r="J30" s="1"/>
      <c r="K30" s="53"/>
      <c r="L30" s="1"/>
    </row>
    <row r="31" ht="12.75" customHeight="1">
      <c r="A31" s="1"/>
      <c r="B31" s="1"/>
      <c r="C31" s="1"/>
      <c r="D31" s="1"/>
      <c r="E31" s="47"/>
      <c r="F31" s="15"/>
      <c r="G31" s="47"/>
      <c r="H31" s="1"/>
      <c r="I31" s="1"/>
      <c r="J31" s="1"/>
      <c r="K31" s="1"/>
      <c r="L31" s="1"/>
    </row>
    <row r="32" ht="12.75" customHeight="1">
      <c r="A32" s="1"/>
      <c r="B32" s="1"/>
      <c r="C32" s="1"/>
      <c r="D32" s="1"/>
      <c r="E32" s="47"/>
      <c r="F32" s="15"/>
      <c r="G32" s="47"/>
      <c r="H32" s="1"/>
      <c r="I32" s="1"/>
      <c r="J32" s="1"/>
      <c r="K32" s="1"/>
      <c r="L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2.75" customHeight="1">
      <c r="A34" s="1"/>
      <c r="B34" s="1"/>
      <c r="C34" s="1"/>
      <c r="D34" s="1"/>
      <c r="E34" s="54"/>
      <c r="F34" s="28"/>
      <c r="G34" s="15"/>
      <c r="H34" s="28"/>
      <c r="I34" s="1"/>
      <c r="J34" s="1"/>
      <c r="K34" s="1"/>
      <c r="L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2.75" customHeight="1">
      <c r="A36" s="1"/>
      <c r="B36" s="1"/>
      <c r="C36" s="1"/>
      <c r="D36" s="1"/>
      <c r="E36" s="55"/>
      <c r="F36" s="56"/>
      <c r="G36" s="1"/>
      <c r="H36" s="1"/>
      <c r="I36" s="1"/>
      <c r="J36" s="1"/>
      <c r="K36" s="1"/>
      <c r="L36" s="1"/>
    </row>
    <row r="37" ht="12.75" customHeight="1">
      <c r="A37" s="1"/>
      <c r="B37" s="1"/>
      <c r="C37" s="1"/>
      <c r="D37" s="1"/>
      <c r="E37" s="25"/>
      <c r="F37" s="57"/>
      <c r="G37" s="1"/>
      <c r="H37" s="1"/>
      <c r="I37" s="1"/>
      <c r="J37" s="1"/>
      <c r="K37" s="1"/>
      <c r="L37" s="1"/>
    </row>
    <row r="38" ht="12.75" customHeight="1">
      <c r="A38" s="1"/>
      <c r="B38" s="1"/>
      <c r="C38" s="1"/>
      <c r="D38" s="54"/>
      <c r="E38" s="58"/>
      <c r="F38" s="1"/>
      <c r="G38" s="1"/>
      <c r="H38" s="1"/>
      <c r="I38" s="1"/>
      <c r="J38" s="1"/>
      <c r="K38" s="1"/>
      <c r="L38" s="1"/>
    </row>
    <row r="39" ht="12.75" customHeight="1">
      <c r="A39" s="1"/>
      <c r="B39" s="1"/>
      <c r="C39" s="1"/>
      <c r="D39" s="52"/>
      <c r="E39" s="26"/>
      <c r="F39" s="1"/>
      <c r="G39" s="1"/>
      <c r="H39" s="1"/>
      <c r="I39" s="1"/>
      <c r="J39" s="1"/>
      <c r="K39" s="1"/>
      <c r="L39" s="53"/>
      <c r="N39" s="53"/>
    </row>
    <row r="40" ht="12.75" customHeight="1">
      <c r="A40" s="1"/>
      <c r="B40" s="1"/>
      <c r="C40" s="1"/>
      <c r="D40" s="1"/>
      <c r="E40" s="47"/>
      <c r="F40" s="15"/>
      <c r="G40" s="47"/>
      <c r="H40" s="1"/>
      <c r="I40" s="1"/>
      <c r="J40" s="1"/>
      <c r="K40" s="1"/>
      <c r="L40" s="53"/>
    </row>
    <row r="41" ht="12.75" customHeight="1">
      <c r="A41" s="1"/>
      <c r="B41" s="1"/>
      <c r="C41" s="1"/>
      <c r="D41" s="1"/>
      <c r="E41" s="47"/>
      <c r="F41" s="15"/>
      <c r="G41" s="47"/>
      <c r="H41" s="1"/>
      <c r="I41" s="1"/>
      <c r="J41" s="1"/>
      <c r="K41" s="1"/>
      <c r="L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2.75" customHeight="1">
      <c r="A43" s="1"/>
      <c r="B43" s="1"/>
      <c r="C43" s="1"/>
      <c r="D43" s="1"/>
      <c r="E43" s="54"/>
      <c r="F43" s="28"/>
      <c r="G43" s="59"/>
      <c r="H43" s="47"/>
      <c r="I43" s="1"/>
      <c r="J43" s="1"/>
      <c r="K43" s="1"/>
      <c r="L43" s="1"/>
    </row>
    <row r="44" ht="8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2.75" customHeight="1">
      <c r="A45" s="1"/>
      <c r="B45" s="1"/>
      <c r="C45" s="1"/>
      <c r="D45" s="54"/>
      <c r="E45" s="58"/>
      <c r="F45" s="1"/>
      <c r="G45" s="1"/>
      <c r="H45" s="1"/>
      <c r="I45" s="1"/>
      <c r="J45" s="1"/>
      <c r="K45" s="1"/>
      <c r="L45" s="1"/>
    </row>
    <row r="46" ht="12.75" customHeight="1">
      <c r="A46" s="1"/>
      <c r="B46" s="1"/>
      <c r="C46" s="1"/>
      <c r="D46" s="52"/>
      <c r="E46" s="26"/>
      <c r="F46" s="1"/>
      <c r="G46" s="1"/>
      <c r="H46" s="1"/>
      <c r="I46" s="1"/>
      <c r="J46" s="1"/>
      <c r="K46" s="1"/>
      <c r="L46" s="1"/>
    </row>
    <row r="47" ht="12.75" customHeight="1">
      <c r="A47" s="1"/>
      <c r="B47" s="1"/>
      <c r="C47" s="1"/>
      <c r="D47" s="1"/>
      <c r="E47" s="47"/>
      <c r="F47" s="15"/>
      <c r="G47" s="47"/>
      <c r="H47" s="1"/>
      <c r="I47" s="1"/>
      <c r="J47" s="1"/>
      <c r="K47" s="1"/>
      <c r="L47" s="1"/>
    </row>
    <row r="48" ht="12.75" customHeight="1">
      <c r="A48" s="1"/>
      <c r="B48" s="1"/>
      <c r="C48" s="1"/>
      <c r="D48" s="1"/>
      <c r="E48" s="47"/>
      <c r="F48" s="15"/>
      <c r="G48" s="47"/>
      <c r="H48" s="1"/>
      <c r="I48" s="1"/>
      <c r="J48" s="1"/>
      <c r="K48" s="1"/>
      <c r="L48" s="53"/>
      <c r="N48" s="53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3"/>
    </row>
    <row r="50" ht="12.75" customHeight="1">
      <c r="A50" s="1"/>
      <c r="B50" s="1"/>
      <c r="C50" s="1"/>
      <c r="D50" s="1"/>
      <c r="E50" s="54"/>
      <c r="F50" s="28"/>
      <c r="G50" s="59"/>
      <c r="H50" s="47"/>
      <c r="I50" s="1"/>
      <c r="J50" s="1"/>
      <c r="K50" s="1"/>
      <c r="L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7.5" customHeight="1">
      <c r="A52" s="1"/>
      <c r="B52" s="1"/>
      <c r="C52" s="1"/>
      <c r="D52" s="1"/>
      <c r="E52" s="1"/>
      <c r="F52" s="22"/>
      <c r="G52" s="1"/>
      <c r="H52" s="1"/>
      <c r="I52" s="1"/>
      <c r="J52" s="1"/>
      <c r="K52" s="1"/>
      <c r="L52" s="1"/>
    </row>
    <row r="53" ht="12.75" customHeight="1">
      <c r="A53" s="6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2.75" customHeight="1">
      <c r="A54" s="6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2.75" customHeight="1">
      <c r="A55" s="6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2.75" customHeight="1">
      <c r="A56" s="6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2.75" customHeight="1">
      <c r="A57" s="6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251969" footer="0.0" header="0.0" left="0.787401575" right="0.787401575" top="0.984251969"/>
  <pageSetup paperSize="9" orientation="portrait"/>
  <headerFooter>
    <oddHeader>&amp;LSTE4&amp;CHydrologie&amp;RTD11b</oddHead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86"/>
    <col customWidth="1" min="3" max="3" width="11.43"/>
    <col customWidth="1" min="4" max="6" width="14.57"/>
    <col customWidth="1" min="7" max="9" width="11.43"/>
    <col customWidth="1" min="10" max="10" width="16.29"/>
    <col customWidth="1" min="11" max="14" width="11.43"/>
    <col customWidth="1" min="15" max="26" width="10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61" t="s">
        <v>23</v>
      </c>
      <c r="C5" s="62" t="s">
        <v>24</v>
      </c>
      <c r="D5" s="62" t="s">
        <v>25</v>
      </c>
      <c r="E5" s="62" t="s">
        <v>26</v>
      </c>
      <c r="F5" s="1"/>
      <c r="G5" s="1"/>
      <c r="H5" s="1"/>
      <c r="I5" s="62" t="s">
        <v>27</v>
      </c>
      <c r="J5" s="63" t="s">
        <v>26</v>
      </c>
      <c r="K5" s="6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59" t="s">
        <v>28</v>
      </c>
      <c r="D6" s="59" t="s">
        <v>28</v>
      </c>
      <c r="E6" s="2" t="s">
        <v>29</v>
      </c>
      <c r="F6" s="2" t="s">
        <v>30</v>
      </c>
      <c r="G6" s="1"/>
      <c r="H6" s="1"/>
      <c r="I6" s="1"/>
      <c r="J6" s="64" t="s">
        <v>31</v>
      </c>
      <c r="K6" s="64" t="s">
        <v>29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2">
        <v>50.0</v>
      </c>
      <c r="F7" s="2">
        <v>254.0</v>
      </c>
      <c r="G7" s="1"/>
      <c r="H7" s="1"/>
      <c r="I7" s="1"/>
      <c r="J7" s="65"/>
      <c r="K7" s="6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59">
        <v>1.0</v>
      </c>
      <c r="C8" s="66">
        <v>80.9</v>
      </c>
      <c r="D8" s="66">
        <v>41.33168363437745</v>
      </c>
      <c r="E8" s="67">
        <f t="shared" ref="E8:E28" si="1">(C8-1.5)^2/(C8-1.5+$F$7)</f>
        <v>18.90929814</v>
      </c>
      <c r="F8" s="1"/>
      <c r="G8" s="1"/>
      <c r="H8" s="1"/>
      <c r="I8" s="66"/>
      <c r="J8" s="6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59">
        <v>2.0</v>
      </c>
      <c r="C9" s="66">
        <v>38.5</v>
      </c>
      <c r="D9" s="66">
        <v>10.7</v>
      </c>
      <c r="E9" s="67">
        <f t="shared" si="1"/>
        <v>4.704467354</v>
      </c>
      <c r="F9" s="1"/>
      <c r="G9" s="1"/>
      <c r="H9" s="1"/>
      <c r="I9" s="66"/>
      <c r="J9" s="6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59">
        <v>3.0</v>
      </c>
      <c r="C10" s="66">
        <v>36.3</v>
      </c>
      <c r="D10" s="66">
        <v>11.4</v>
      </c>
      <c r="E10" s="67">
        <f t="shared" si="1"/>
        <v>4.193351801</v>
      </c>
      <c r="F10" s="1"/>
      <c r="G10" s="1"/>
      <c r="H10" s="1"/>
      <c r="I10" s="66"/>
      <c r="J10" s="6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59">
        <v>4.0</v>
      </c>
      <c r="C11" s="66">
        <v>48.1</v>
      </c>
      <c r="D11" s="66">
        <v>24.3</v>
      </c>
      <c r="E11" s="67">
        <f t="shared" si="1"/>
        <v>7.224085163</v>
      </c>
      <c r="F11" s="1"/>
      <c r="G11" s="1"/>
      <c r="H11" s="1"/>
      <c r="I11" s="66"/>
      <c r="J11" s="6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59">
        <v>5.0</v>
      </c>
      <c r="C12" s="66">
        <v>49.0</v>
      </c>
      <c r="D12" s="66">
        <v>9.5</v>
      </c>
      <c r="E12" s="67">
        <f t="shared" si="1"/>
        <v>7.483416252</v>
      </c>
      <c r="F12" s="1"/>
      <c r="G12" s="1"/>
      <c r="H12" s="1"/>
      <c r="I12" s="66"/>
      <c r="J12" s="6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59">
        <v>6.0</v>
      </c>
      <c r="C13" s="66">
        <v>27.2</v>
      </c>
      <c r="D13" s="66">
        <v>3.9</v>
      </c>
      <c r="E13" s="67">
        <f t="shared" si="1"/>
        <v>2.361422953</v>
      </c>
      <c r="F13" s="1"/>
      <c r="G13" s="1"/>
      <c r="H13" s="1"/>
      <c r="I13" s="66"/>
      <c r="J13" s="6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59">
        <v>7.0</v>
      </c>
      <c r="C14" s="66">
        <v>33.9</v>
      </c>
      <c r="D14" s="66">
        <v>3.0</v>
      </c>
      <c r="E14" s="67">
        <f t="shared" si="1"/>
        <v>3.665363128</v>
      </c>
      <c r="F14" s="1"/>
      <c r="G14" s="1"/>
      <c r="H14" s="1"/>
      <c r="I14" s="66"/>
      <c r="J14" s="6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59">
        <v>8.0</v>
      </c>
      <c r="C15" s="66">
        <v>34.4</v>
      </c>
      <c r="D15" s="66">
        <v>6.9</v>
      </c>
      <c r="E15" s="67">
        <f t="shared" si="1"/>
        <v>3.772777971</v>
      </c>
      <c r="F15" s="1"/>
      <c r="G15" s="1"/>
      <c r="H15" s="1"/>
      <c r="I15" s="66"/>
      <c r="J15" s="6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59">
        <v>9.0</v>
      </c>
      <c r="C16" s="66">
        <v>27.5</v>
      </c>
      <c r="D16" s="66">
        <v>11.2</v>
      </c>
      <c r="E16" s="67">
        <f t="shared" si="1"/>
        <v>2.414285714</v>
      </c>
      <c r="F16" s="1"/>
      <c r="G16" s="1"/>
      <c r="H16" s="1"/>
      <c r="I16" s="66"/>
      <c r="J16" s="6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59">
        <v>10.0</v>
      </c>
      <c r="C17" s="66">
        <v>79.2</v>
      </c>
      <c r="D17" s="66">
        <v>8.1</v>
      </c>
      <c r="E17" s="67">
        <f t="shared" si="1"/>
        <v>18.20105517</v>
      </c>
      <c r="F17" s="1"/>
      <c r="G17" s="1"/>
      <c r="H17" s="1"/>
      <c r="I17" s="66"/>
      <c r="J17" s="6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59">
        <v>11.0</v>
      </c>
      <c r="C18" s="66">
        <v>34.4</v>
      </c>
      <c r="D18" s="66">
        <v>12.9</v>
      </c>
      <c r="E18" s="67">
        <f t="shared" si="1"/>
        <v>3.772777971</v>
      </c>
      <c r="F18" s="1"/>
      <c r="G18" s="1"/>
      <c r="H18" s="1"/>
      <c r="I18" s="66"/>
      <c r="J18" s="6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59">
        <v>12.0</v>
      </c>
      <c r="C19" s="66">
        <v>22.0</v>
      </c>
      <c r="D19" s="66">
        <v>6.3</v>
      </c>
      <c r="E19" s="67">
        <f t="shared" si="1"/>
        <v>1.530965392</v>
      </c>
      <c r="F19" s="1"/>
      <c r="G19" s="1"/>
      <c r="H19" s="1"/>
      <c r="I19" s="66"/>
      <c r="J19" s="6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9">
        <v>13.0</v>
      </c>
      <c r="C20" s="66">
        <v>33.9</v>
      </c>
      <c r="D20" s="66">
        <v>17.2</v>
      </c>
      <c r="E20" s="67">
        <f t="shared" si="1"/>
        <v>3.665363128</v>
      </c>
      <c r="F20" s="1"/>
      <c r="G20" s="1"/>
      <c r="H20" s="1"/>
      <c r="I20" s="66"/>
      <c r="J20" s="6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59">
        <v>14.0</v>
      </c>
      <c r="C21" s="66">
        <v>16.5</v>
      </c>
      <c r="D21" s="66">
        <v>5.7</v>
      </c>
      <c r="E21" s="67">
        <f t="shared" si="1"/>
        <v>0.8364312268</v>
      </c>
      <c r="F21" s="1"/>
      <c r="G21" s="1"/>
      <c r="H21" s="1"/>
      <c r="I21" s="66"/>
      <c r="J21" s="6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59">
        <v>15.0</v>
      </c>
      <c r="C22" s="66">
        <v>41.2</v>
      </c>
      <c r="D22" s="66">
        <v>8.8</v>
      </c>
      <c r="E22" s="67">
        <f t="shared" si="1"/>
        <v>5.366326183</v>
      </c>
      <c r="F22" s="1"/>
      <c r="G22" s="1"/>
      <c r="H22" s="1"/>
      <c r="I22" s="66"/>
      <c r="J22" s="6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59">
        <v>16.0</v>
      </c>
      <c r="C23" s="66">
        <v>47.4</v>
      </c>
      <c r="D23" s="66">
        <v>16.3</v>
      </c>
      <c r="E23" s="67">
        <f t="shared" si="1"/>
        <v>7.025041681</v>
      </c>
      <c r="F23" s="1"/>
      <c r="G23" s="1"/>
      <c r="H23" s="1"/>
      <c r="I23" s="66"/>
      <c r="J23" s="6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59">
        <v>17.0</v>
      </c>
      <c r="C24" s="66">
        <v>60.1</v>
      </c>
      <c r="D24" s="66">
        <v>25.6</v>
      </c>
      <c r="E24" s="67">
        <f t="shared" si="1"/>
        <v>10.98515675</v>
      </c>
      <c r="F24" s="1"/>
      <c r="G24" s="1"/>
      <c r="H24" s="1"/>
      <c r="I24" s="66"/>
      <c r="J24" s="6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59">
        <v>18.0</v>
      </c>
      <c r="C25" s="66">
        <v>18.9</v>
      </c>
      <c r="D25" s="66">
        <v>9.1</v>
      </c>
      <c r="E25" s="67">
        <f t="shared" si="1"/>
        <v>1.115549005</v>
      </c>
      <c r="F25" s="1"/>
      <c r="G25" s="1"/>
      <c r="H25" s="1"/>
      <c r="I25" s="66"/>
      <c r="J25" s="6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59">
        <v>19.0</v>
      </c>
      <c r="C26" s="66">
        <v>22.8</v>
      </c>
      <c r="D26" s="66">
        <v>7.2</v>
      </c>
      <c r="E26" s="67">
        <f t="shared" si="1"/>
        <v>1.647984017</v>
      </c>
      <c r="F26" s="1"/>
      <c r="G26" s="1"/>
      <c r="H26" s="1"/>
      <c r="I26" s="66"/>
      <c r="J26" s="6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59">
        <v>20.0</v>
      </c>
      <c r="C27" s="66">
        <v>21.2</v>
      </c>
      <c r="D27" s="66">
        <v>7.2</v>
      </c>
      <c r="E27" s="67">
        <f t="shared" si="1"/>
        <v>1.41793935</v>
      </c>
      <c r="F27" s="1"/>
      <c r="G27" s="1"/>
      <c r="H27" s="1"/>
      <c r="I27" s="66"/>
      <c r="J27" s="6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9">
        <v>21.0</v>
      </c>
      <c r="C28" s="66">
        <v>63.8</v>
      </c>
      <c r="D28" s="66">
        <v>22.6</v>
      </c>
      <c r="E28" s="67">
        <f t="shared" si="1"/>
        <v>12.27091369</v>
      </c>
      <c r="F28" s="1"/>
      <c r="G28" s="1"/>
      <c r="H28" s="1"/>
      <c r="I28" s="66"/>
      <c r="J28" s="6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 t="s">
        <v>32</v>
      </c>
      <c r="I29" s="6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">
        <v>33</v>
      </c>
      <c r="N30" s="1" t="s">
        <v>34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>
        <v>0.0</v>
      </c>
      <c r="N31" s="1">
        <v>0.0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>
        <v>40.0</v>
      </c>
      <c r="N32" s="1">
        <v>40.0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2008-03-08T17:49:34Z</dcterms:created>
  <dc:creator>agnes l'aour</dc:creator>
</cp:coreProperties>
</file>